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han\Downloads\Parse-JSON-In-Excel\"/>
    </mc:Choice>
  </mc:AlternateContent>
  <xr:revisionPtr revIDLastSave="0" documentId="13_ncr:1_{E1BED1F6-9569-40D1-B9D4-52927DD4DFED}" xr6:coauthVersionLast="47" xr6:coauthVersionMax="47" xr10:uidLastSave="{00000000-0000-0000-0000-000000000000}"/>
  <bookViews>
    <workbookView xWindow="44880" yWindow="-120" windowWidth="29040" windowHeight="15840" xr2:uid="{80D089E8-807F-4037-AD39-D3BB30292644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A14" i="1" s="1"/>
  <c r="D3" i="2" a="1"/>
  <c r="D4" i="2" a="1"/>
  <c r="D4" i="1" a="1"/>
  <c r="D5" i="1" a="1"/>
  <c r="B12" i="1" a="1"/>
  <c r="D3" i="1" a="1"/>
  <c r="C12" i="1" a="1"/>
  <c r="A15" i="1" l="1"/>
  <c r="D3" i="2"/>
  <c r="D4" i="2"/>
  <c r="C12" i="1"/>
  <c r="D5" i="1"/>
  <c r="D4" i="1"/>
  <c r="D3" i="1"/>
  <c r="B12" i="1"/>
  <c r="C14" i="1" a="1"/>
  <c r="C13" i="1" a="1"/>
  <c r="B13" i="1" a="1"/>
  <c r="B14" i="1" a="1"/>
  <c r="B14" i="1" l="1"/>
  <c r="B13" i="1"/>
  <c r="C13" i="1"/>
  <c r="C14" i="1"/>
  <c r="A16" i="1"/>
  <c r="B15" i="1" a="1"/>
  <c r="C15" i="1" a="1"/>
  <c r="C15" i="1" l="1"/>
  <c r="B15" i="1"/>
  <c r="A17" i="1"/>
  <c r="C16" i="1" a="1"/>
  <c r="B16" i="1" a="1"/>
  <c r="B16" i="1" l="1"/>
  <c r="C16" i="1"/>
  <c r="A18" i="1"/>
  <c r="B17" i="1" a="1"/>
  <c r="C17" i="1" a="1"/>
  <c r="C17" i="1" l="1"/>
  <c r="B17" i="1"/>
  <c r="A19" i="1"/>
  <c r="B18" i="1" a="1"/>
  <c r="C18" i="1" a="1"/>
  <c r="C18" i="1" l="1"/>
  <c r="B18" i="1"/>
  <c r="A20" i="1"/>
  <c r="B19" i="1" a="1"/>
  <c r="C19" i="1" a="1"/>
  <c r="C19" i="1" l="1"/>
  <c r="B19" i="1"/>
  <c r="A21" i="1"/>
  <c r="B20" i="1" a="1"/>
  <c r="C20" i="1" a="1"/>
  <c r="C20" i="1" l="1"/>
  <c r="B20" i="1"/>
  <c r="A22" i="1"/>
  <c r="B22" i="1" a="1"/>
  <c r="B21" i="1" a="1"/>
  <c r="B21" i="1" l="1"/>
  <c r="B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<sst xmlns="http://schemas.openxmlformats.org/spreadsheetml/2006/main" count="14" uniqueCount="14">
  <si>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JSON</t>
  </si>
  <si>
    <t>Name</t>
  </si>
  <si>
    <t>Price</t>
  </si>
  <si>
    <t>Volume</t>
  </si>
  <si>
    <t>Number</t>
  </si>
  <si>
    <t>Value</t>
  </si>
  <si>
    <t>End Date</t>
  </si>
  <si>
    <t>{_x000D_
  "Symbol": "FB",_x000D_
  "Summary": {_x000D_
    "Name": "Facebook, Inc.",_x000D_
    "StockSymbol": "FB",_x000D_
    "Price": 363.2,_x000D_
    "DollarChange": 0.23,_x000D_
    "PercentChange": 0.00059999997,_x000D_
    "PreviousClose": 362.97,_x000D_
    "Open": 361.4,_x000D_
    "BidPrice": 363.19,_x000D_
    "BidQuantity": 900,_x000D_
    "AskPrice": 363.22,_x000D_
    "AskQuantity": 800,_x000D_
    "DayRangeLow": 361.44,_x000D_
    "DayRangeHigh": 365.11,_x000D_
    "YearRangeLow": 244.13,_x000D_
    "YearRangeHigh": 377.55,_x000D_
    "Volume": 6520818,_x000D_
    "AverageVolume": 16020445,_x000D_
    "MarketCap": 1024000065536.0,_x000D_
    "Beta": 1.29,_x000D_
    "PriceEarningsRatio": 26.97,_x000D_
    "EarningsPerShare": 13.47,_x000D_
    "EarningsDate": "2021-10-27T00:00:00",_x000D_
    "ForwardDividend": null,_x000D_
    "ForwardDividendYield": null,_x000D_
    "ExDividendDate": null,_x000D_
    "YearTargetEstimate": 386.47,_x000D_
    "QueriedSymbol": "FB",_x000D_
    "DataCollectedOn": "2021-08-06T19:41:42.7885546+00:00"_x000D_
  }_x000D_
}</t>
  </si>
  <si>
    <t>Example on array of data:</t>
  </si>
  <si>
    <t>[{"PeriodStart":"2012-01-01T00:00:00","PeriodEnd":"2012-12-31T00:00:00","Value":5089000000.0},{"PeriodStart":"2013-01-01T00:00:00","PeriodEnd":"2013-12-31T00:00:00","Value":7872000000.0},{"PeriodStart":"2014-01-01T00:00:00","PeriodEnd":"2014-12-31T00:00:00","Value":12466000000.0},{"PeriodStart":"2015-01-01T00:00:00","PeriodEnd":"2015-12-31T00:00:00","Value":17928000000.0},{"PeriodStart":"2016-01-01T00:00:00","PeriodEnd":"2016-12-31T00:00:00","Value":27638000000.0},{"PeriodStart":"2017-01-01T00:00:00","PeriodEnd":"2017-12-31T00:00:00","Value":40653000000.0},{"PeriodStart":"2018-01-01T00:00:00","PeriodEnd":"2018-12-31T00:00:00","Value":55838000000.0},{"PeriodStart":"2019-01-01T00:00:00","PeriodEnd":"2019-12-31T00:00:00","Value":70697000000.0},{"PeriodStart":"2020-01-01T00:00:00","PeriodEnd":"2020-12-31T00:00:00","Value":85965000000.0}]</t>
  </si>
  <si>
    <t>Example JSON</t>
  </si>
  <si>
    <t>{"FirstName":"Tim", "LastName":"Hanewich"}</t>
  </si>
  <si>
    <t>Extract Property "FirstName":</t>
  </si>
  <si>
    <t>Extract Property "LastName":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</si>
</sst>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164" fontId="0" fillId="0" borderId="0" xfId="1" applyNumberFormat="1" applyFont="1"/>
    <xf numFmtId="43" fontId="0" fillId="0" borderId="0" xfId="0" applyNumberFormat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9" xfId="0" applyFill="1" applyBorder="1" applyAlignment="1">
      <alignment horizontal="center" vertical="center"/>
    </xf>
    <xf numFmtId="44" fontId="0" fillId="3" borderId="10" xfId="2" applyFont="1" applyFill="1" applyBorder="1" applyAlignment="1">
      <alignment horizontal="center" vertical="center"/>
    </xf>
    <xf numFmtId="164" fontId="0" fillId="3" borderId="11" xfId="1" applyNumberFormat="1" applyFont="1" applyFill="1" applyBorder="1" applyAlignment="1">
      <alignment horizontal="center" vertic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164" fontId="0" fillId="4" borderId="0" xfId="1" applyNumberFormat="1" applyFont="1" applyFill="1" applyBorder="1"/>
    <xf numFmtId="0" fontId="0" fillId="4" borderId="6" xfId="0" applyFill="1" applyBorder="1"/>
    <xf numFmtId="164" fontId="0" fillId="4" borderId="7" xfId="1" applyNumberFormat="1" applyFont="1" applyFill="1" applyBorder="1"/>
    <xf numFmtId="0" fontId="0" fillId="4" borderId="7" xfId="0" applyFill="1" applyBorder="1"/>
    <xf numFmtId="43" fontId="0" fillId="4" borderId="8" xfId="0" applyNumberFormat="1" applyFill="1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5877-A35E-4665-8289-E632EF28503B}">
  <sheetPr codeName="Sheet1"/>
  <dimension ref="A1:E25"/>
  <sheetViews>
    <sheetView tabSelected="1" zoomScale="160" zoomScaleNormal="160" workbookViewId="0"/>
  </sheetViews>
  <sheetFormatPr defaultRowHeight="14.25" x14ac:dyDescent="0.45"/>
  <cols>
    <col min="2" max="2" width="17.1328125" bestFit="1" customWidth="1"/>
    <col min="4" max="4" width="31.6640625" customWidth="1"/>
    <col min="5" max="5" width="12.46484375" bestFit="1" customWidth="1"/>
  </cols>
  <sheetData>
    <row r="1" spans="1:4" x14ac:dyDescent="0.45">
      <c r="A1" s="3" t="s">
        <v>0</v>
      </c>
      <c r="B1" s="4"/>
      <c r="C1" s="4"/>
      <c r="D1" s="5" t="s">
        <v>7</v>
      </c>
    </row>
    <row r="2" spans="1:4" x14ac:dyDescent="0.45">
      <c r="A2" s="3"/>
      <c r="B2" s="4"/>
      <c r="C2" s="4"/>
      <c r="D2" s="5"/>
    </row>
    <row r="3" spans="1:4" x14ac:dyDescent="0.45">
      <c r="A3" s="3" t="s">
        <v>1</v>
      </c>
      <c r="B3" s="4"/>
      <c r="C3" s="4"/>
      <c r="D3" s="8" t="str" cm="1">
        <f t="array" ref="D3">JSON(D1, "obj.Summary.Name")</f>
        <v>Facebook, Inc.</v>
      </c>
    </row>
    <row r="4" spans="1:4" x14ac:dyDescent="0.45">
      <c r="A4" s="3" t="s">
        <v>2</v>
      </c>
      <c r="B4" s="4"/>
      <c r="C4" s="4"/>
      <c r="D4" s="9" cm="1">
        <f t="array" ref="D4">_xlfn.NUMBERVALUE(JSON(D1, "obj.Summary.Price"))</f>
        <v>363.2</v>
      </c>
    </row>
    <row r="5" spans="1:4" x14ac:dyDescent="0.45">
      <c r="A5" s="6" t="s">
        <v>3</v>
      </c>
      <c r="B5" s="7"/>
      <c r="C5" s="7"/>
      <c r="D5" s="10" cm="1">
        <f t="array" ref="D5">_xlfn.NUMBERVALUE(JSON(D1, "obj.Summary.Volume"))</f>
        <v>6520818</v>
      </c>
    </row>
    <row r="8" spans="1:4" x14ac:dyDescent="0.45">
      <c r="A8" s="11" t="s">
        <v>8</v>
      </c>
      <c r="B8" s="12"/>
      <c r="C8" s="12"/>
      <c r="D8" s="13"/>
    </row>
    <row r="9" spans="1:4" x14ac:dyDescent="0.45">
      <c r="A9" s="14" t="s">
        <v>9</v>
      </c>
      <c r="B9" s="15"/>
      <c r="C9" s="15"/>
      <c r="D9" s="16"/>
    </row>
    <row r="10" spans="1:4" x14ac:dyDescent="0.45">
      <c r="A10" s="14"/>
      <c r="B10" s="15"/>
      <c r="C10" s="15"/>
      <c r="D10" s="16"/>
    </row>
    <row r="11" spans="1:4" x14ac:dyDescent="0.45">
      <c r="A11" s="14" t="s">
        <v>4</v>
      </c>
      <c r="B11" s="15" t="s">
        <v>5</v>
      </c>
      <c r="C11" s="15" t="s">
        <v>6</v>
      </c>
      <c r="D11" s="16"/>
    </row>
    <row r="12" spans="1:4" x14ac:dyDescent="0.45">
      <c r="A12" s="14">
        <v>0</v>
      </c>
      <c r="B12" s="17" cm="1">
        <f t="array" ref="B12">_xlfn.NUMBERVALUE(JSON($A$9, "obj("&amp;A12&amp;").Value"))</f>
        <v>5089000000</v>
      </c>
      <c r="C12" s="17" t="str" cm="1">
        <f t="array" ref="C12">JSON($A$9, "obj("&amp;A12&amp;").PeriodEnd")</f>
        <v>2012-12-31T00:00:00</v>
      </c>
      <c r="D12" s="16"/>
    </row>
    <row r="13" spans="1:4" x14ac:dyDescent="0.45">
      <c r="A13" s="14">
        <f>A12+1</f>
        <v>1</v>
      </c>
      <c r="B13" s="17" cm="1">
        <f t="array" ref="B13">_xlfn.NUMBERVALUE(JSON($A$9, "obj("&amp;A13&amp;").Value"))</f>
        <v>7872000000</v>
      </c>
      <c r="C13" s="17" t="str" cm="1">
        <f t="array" ref="C13">JSON($A$9, "obj("&amp;A13&amp;").PeriodEnd")</f>
        <v>2013-12-31T00:00:00</v>
      </c>
      <c r="D13" s="16"/>
    </row>
    <row r="14" spans="1:4" x14ac:dyDescent="0.45">
      <c r="A14" s="14">
        <f t="shared" ref="A14:A22" si="0">A13+1</f>
        <v>2</v>
      </c>
      <c r="B14" s="17" cm="1">
        <f t="array" ref="B14">_xlfn.NUMBERVALUE(JSON($A$9, "obj("&amp;A14&amp;").Value"))</f>
        <v>12466000000</v>
      </c>
      <c r="C14" s="17" t="str" cm="1">
        <f t="array" ref="C14">JSON($A$9, "obj("&amp;A14&amp;").PeriodEnd")</f>
        <v>2014-12-31T00:00:00</v>
      </c>
      <c r="D14" s="16"/>
    </row>
    <row r="15" spans="1:4" x14ac:dyDescent="0.45">
      <c r="A15" s="14">
        <f t="shared" si="0"/>
        <v>3</v>
      </c>
      <c r="B15" s="17" cm="1">
        <f t="array" ref="B15">_xlfn.NUMBERVALUE(JSON($A$9, "obj("&amp;A15&amp;").Value"))</f>
        <v>17928000000</v>
      </c>
      <c r="C15" s="17" t="str" cm="1">
        <f t="array" ref="C15">JSON($A$9, "obj("&amp;A15&amp;").PeriodEnd")</f>
        <v>2015-12-31T00:00:00</v>
      </c>
      <c r="D15" s="16"/>
    </row>
    <row r="16" spans="1:4" x14ac:dyDescent="0.45">
      <c r="A16" s="14">
        <f t="shared" si="0"/>
        <v>4</v>
      </c>
      <c r="B16" s="17" cm="1">
        <f t="array" ref="B16">_xlfn.NUMBERVALUE(JSON($A$9, "obj("&amp;A16&amp;").Value"))</f>
        <v>27638000000</v>
      </c>
      <c r="C16" s="17" t="str" cm="1">
        <f t="array" ref="C16">JSON($A$9, "obj("&amp;A16&amp;").PeriodEnd")</f>
        <v>2016-12-31T00:00:00</v>
      </c>
      <c r="D16" s="16"/>
    </row>
    <row r="17" spans="1:5" x14ac:dyDescent="0.45">
      <c r="A17" s="14">
        <f t="shared" si="0"/>
        <v>5</v>
      </c>
      <c r="B17" s="17" cm="1">
        <f t="array" ref="B17">_xlfn.NUMBERVALUE(JSON($A$9, "obj("&amp;A17&amp;").Value"))</f>
        <v>40653000000</v>
      </c>
      <c r="C17" s="17" t="str" cm="1">
        <f t="array" ref="C17">JSON($A$9, "obj("&amp;A17&amp;").PeriodEnd")</f>
        <v>2017-12-31T00:00:00</v>
      </c>
      <c r="D17" s="16"/>
    </row>
    <row r="18" spans="1:5" x14ac:dyDescent="0.45">
      <c r="A18" s="14">
        <f t="shared" si="0"/>
        <v>6</v>
      </c>
      <c r="B18" s="17" cm="1">
        <f t="array" ref="B18">_xlfn.NUMBERVALUE(JSON($A$9, "obj("&amp;A18&amp;").Value"))</f>
        <v>55838000000</v>
      </c>
      <c r="C18" s="17" t="str" cm="1">
        <f t="array" ref="C18">JSON($A$9, "obj("&amp;A18&amp;").PeriodEnd")</f>
        <v>2018-12-31T00:00:00</v>
      </c>
      <c r="D18" s="16"/>
    </row>
    <row r="19" spans="1:5" x14ac:dyDescent="0.45">
      <c r="A19" s="14">
        <f t="shared" si="0"/>
        <v>7</v>
      </c>
      <c r="B19" s="17" cm="1">
        <f t="array" ref="B19">_xlfn.NUMBERVALUE(JSON($A$9, "obj("&amp;A19&amp;").Value"))</f>
        <v>70697000000</v>
      </c>
      <c r="C19" s="17" t="str" cm="1">
        <f t="array" ref="C19">JSON($A$9, "obj("&amp;A19&amp;").PeriodEnd")</f>
        <v>2019-12-31T00:00:00</v>
      </c>
      <c r="D19" s="16"/>
    </row>
    <row r="20" spans="1:5" x14ac:dyDescent="0.45">
      <c r="A20" s="14">
        <f t="shared" si="0"/>
        <v>8</v>
      </c>
      <c r="B20" s="17" cm="1">
        <f t="array" ref="B20">_xlfn.NUMBERVALUE(JSON($A$9, "obj("&amp;A20&amp;").Value"))</f>
        <v>85965000000</v>
      </c>
      <c r="C20" s="17" t="str" cm="1">
        <f t="array" ref="C20">JSON($A$9, "obj("&amp;A20&amp;").PeriodEnd")</f>
        <v>2020-12-31T00:00:00</v>
      </c>
      <c r="D20" s="16"/>
    </row>
    <row r="21" spans="1:5" x14ac:dyDescent="0.45">
      <c r="A21" s="14">
        <f t="shared" si="0"/>
        <v>9</v>
      </c>
      <c r="B21" s="17" cm="1">
        <f t="array" ref="B21">_xlfn.NUMBERVALUE(JSON($A$9, "obj("&amp;A21&amp;").Value"))</f>
        <v>0</v>
      </c>
      <c r="C21" s="15"/>
      <c r="D21" s="16"/>
    </row>
    <row r="22" spans="1:5" x14ac:dyDescent="0.45">
      <c r="A22" s="18">
        <f t="shared" si="0"/>
        <v>10</v>
      </c>
      <c r="B22" s="19" cm="1">
        <f t="array" ref="B22">_xlfn.NUMBERVALUE(JSON($A$9, "obj("&amp;A22&amp;").Value"))</f>
        <v>0</v>
      </c>
      <c r="C22" s="20"/>
      <c r="D22" s="21"/>
      <c r="E22" s="2"/>
    </row>
    <row r="23" spans="1:5" x14ac:dyDescent="0.45">
      <c r="B23" s="1"/>
      <c r="E23" s="2"/>
    </row>
    <row r="24" spans="1:5" x14ac:dyDescent="0.45">
      <c r="B24" s="1"/>
      <c r="E24" s="2"/>
    </row>
    <row r="25" spans="1:5" x14ac:dyDescent="0.45">
      <c r="B2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BF71-A57B-4129-B6F5-ED99CD9DAA41}">
  <dimension ref="A1:D4"/>
  <sheetViews>
    <sheetView zoomScale="190" zoomScaleNormal="190" workbookViewId="0">
      <selection activeCell="D3" sqref="D3"/>
    </sheetView>
  </sheetViews>
  <sheetFormatPr defaultRowHeight="14.25" x14ac:dyDescent="0.45"/>
  <sheetData>
    <row r="1" spans="1:4" x14ac:dyDescent="0.45">
      <c r="A1" t="s">
        <v>10</v>
      </c>
      <c r="D1" t="s">
        <v>11</v>
      </c>
    </row>
    <row r="3" spans="1:4" x14ac:dyDescent="0.45">
      <c r="A3" t="s">
        <v>12</v>
      </c>
      <c r="D3" t="str" cm="1">
        <f t="array" ref="D3">JSON(D1, "obj.FirstName")</f>
        <v>Tim</v>
      </c>
    </row>
    <row r="4" spans="1:4" x14ac:dyDescent="0.45">
      <c r="A4" t="s">
        <v>13</v>
      </c>
      <c r="D4" t="str" cm="1">
        <f t="array" ref="D4">JSON(D1, "obj.LastName")</f>
        <v>Hanewich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Hanewich</dc:creator>
  <cp:lastModifiedBy>Timothy Hanewich</cp:lastModifiedBy>
  <dcterms:created xsi:type="dcterms:W3CDTF">2021-08-06T18:05:31Z</dcterms:created>
  <dcterms:modified xsi:type="dcterms:W3CDTF">2021-08-06T19:49:01Z</dcterms:modified>
</cp:coreProperties>
</file>